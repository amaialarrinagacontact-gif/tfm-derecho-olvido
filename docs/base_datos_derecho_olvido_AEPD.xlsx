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Corpus" sheetId="2" state="visible" r:id="rId4"/>
    <sheet name="Pendientes" sheetId="3" state="visible" r:id="rId5"/>
    <sheet name="Descartados" sheetId="4" state="visible" r:id="rId6"/>
    <sheet name="Resumen" sheetId="5" state="visible" r:id="rId7"/>
  </sheets>
  <definedNames>
    <definedName function="false" hidden="true" localSheetId="1" name="_xlnm._FilterDatabase" vbProcedure="false">Corpus!$A$1:$Q$19</definedName>
    <definedName function="false" hidden="true" localSheetId="3" name="_xlnm._FilterDatabase" vbProcedure="false">Descartados!$A$1:$C$8</definedName>
    <definedName function="false" hidden="true" localSheetId="2" name="_xlnm._FilterDatabase" vbProcedure="false">Pendientes!$A$1:$D$13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<sst xmlns="http://schemas.openxmlformats.org/spreadsheetml/2006/main" count="338" uniqueCount="205">
  <si>
    <t xml:space="preserve">Base de datos de resoluciones de la AEPD sobre derecho al olvido digital</t>
  </si>
  <si>
    <t xml:space="preserve">Elaborada a partir de fuentes públicas: PDF oficiales de la AEPD, Iberley y sentencias (TC, TS, AN). Las resoluciones administrativas no están protegidas por derechos de autor (art. 13 LPI).</t>
  </si>
  <si>
    <t xml:space="preserve">Cómo usarla</t>
  </si>
  <si>
    <t xml:space="preserve">1. 'Corpus': casos localizados con su resultado. Las etiquetas siguen la guía de etiquetado del proyecto.</t>
  </si>
  <si>
    <t xml:space="preserve">2. Antes de entrenar el modelo, descarga el PDF oficial de cada caso (columna 'PDF oficial'), pásalo por 01_extraer.py y valida las variables. Las variables del modelo deben salir SOLO de los HECHOS.</t>
  </si>
  <si>
    <t xml:space="preserve">3. 'Pendientes': expedientes localizados cuyo resultado aún no consta. Hay que descargarlos y leerlos.</t>
  </si>
  <si>
    <t xml:space="preserve">4. 'Descartados': no son derecho al olvido digital, con el motivo. Sirven para documentar el filtrado en la memoria.</t>
  </si>
  <si>
    <t xml:space="preserve">5. 'Resumen': recuentos automáticos (se actualizan al editar el Corpus).</t>
  </si>
  <si>
    <t xml:space="preserve">Nivel de verificación</t>
  </si>
  <si>
    <t xml:space="preserve">• Texto íntegro revisado: resolución leída completa; etiquetas propuestas con justificación.</t>
  </si>
  <si>
    <t xml:space="preserve">• Fragmentos oficiales (buscador): el resultado consta en fragmentos del propio documento oficial; faltan variables.</t>
  </si>
  <si>
    <t xml:space="preserve">• Citada en sentencia judicial: resultado tomado de una sentencia que revisa la resolución; hay que contrastarlo con el PDF.</t>
  </si>
  <si>
    <t xml:space="preserve">Reglas de etiquetado aplicadas (a validar por la autora)</t>
  </si>
  <si>
    <t xml:space="preserve">• 'excluir' si: estimación solo por motivos formales o 'instar a certificar o denegar motivadamente'; desestimación sin objeto porque ya se obtuvo lo pedido; archivo o inadmisión.</t>
  </si>
  <si>
    <t xml:space="preserve">• 'revisar': caso dudoso que requiere criterio jurídico (reposición, desestimación procedimental, resultado parcial).</t>
  </si>
  <si>
    <t xml:space="preserve">• Celdas vacías = dato no verificado todavía. Nunca se han estimado ni inventado valores.</t>
  </si>
  <si>
    <t xml:space="preserve">Expediente</t>
  </si>
  <si>
    <t xml:space="preserve">Año resolución</t>
  </si>
  <si>
    <t xml:space="preserve">Etapa</t>
  </si>
  <si>
    <t xml:space="preserve">Reclamada</t>
  </si>
  <si>
    <t xml:space="preserve">tipo_responsable</t>
  </si>
  <si>
    <t xml:space="preserve">tipo_solicitante</t>
  </si>
  <si>
    <t xml:space="preserve">tipo_contenido</t>
  </si>
  <si>
    <t xml:space="preserve">antiguedad_info_años</t>
  </si>
  <si>
    <t xml:space="preserve">condena_penal_previa</t>
  </si>
  <si>
    <t xml:space="preserve">alega_libertad_informacion</t>
  </si>
  <si>
    <t xml:space="preserve">Resultado (etiqueta)</t>
  </si>
  <si>
    <t xml:space="preserve">Fallo literal</t>
  </si>
  <si>
    <t xml:space="preserve">Nota jurídica</t>
  </si>
  <si>
    <t xml:space="preserve">Recorrido judicial</t>
  </si>
  <si>
    <t xml:space="preserve">Fuente</t>
  </si>
  <si>
    <t xml:space="preserve">PDF oficial</t>
  </si>
  <si>
    <t xml:space="preserve">TD/00072/2015</t>
  </si>
  <si>
    <t xml:space="preserve">LOPD</t>
  </si>
  <si>
    <t xml:space="preserve">Google Inc.</t>
  </si>
  <si>
    <t xml:space="preserve">motor_busqueda</t>
  </si>
  <si>
    <t xml:space="preserve">privada</t>
  </si>
  <si>
    <t xml:space="preserve">otro</t>
  </si>
  <si>
    <t xml:space="preserve">estimada</t>
  </si>
  <si>
    <t xml:space="preserve">Estimar la reclamación</t>
  </si>
  <si>
    <t xml:space="preserve">Mensaje en un foro sobre la salud del reclamante.</t>
  </si>
  <si>
    <t xml:space="preserve">Confirmada por la Audiencia Nacional (SAN 2433/2017)</t>
  </si>
  <si>
    <t xml:space="preserve">Citada en sentencia judicial</t>
  </si>
  <si>
    <t xml:space="preserve">https://globalfreedomofexpression.columbia.edu/wp-content/uploads/2022/03/SAN_2433_2017.pdf</t>
  </si>
  <si>
    <t xml:space="preserve">https://www.aepd.es/documento/td-00072-2015.pdf</t>
  </si>
  <si>
    <t xml:space="preserve">TD/01416/2014</t>
  </si>
  <si>
    <t xml:space="preserve">noticia</t>
  </si>
  <si>
    <t xml:space="preserve">Estimar (R/00132/2015); reposición desestimada</t>
  </si>
  <si>
    <t xml:space="preserve">Datos inexactos que afectan a la esencia de la noticia.</t>
  </si>
  <si>
    <t xml:space="preserve">Recurrida por Google hasta el Tribunal Supremo</t>
  </si>
  <si>
    <t xml:space="preserve">https://laadministracionaldia.inap.es/noticia.asp?id=1189643</t>
  </si>
  <si>
    <t xml:space="preserve">https://www.aepd.es/documento/td-01416-2014.pdf</t>
  </si>
  <si>
    <t xml:space="preserve">TD/02177/2016</t>
  </si>
  <si>
    <t xml:space="preserve">Estimar (R/00725/2017): tres URL</t>
  </si>
  <si>
    <t xml:space="preserve">Comentarios de 2010 en portales de quejas sobre su actividad profesional: 'datos obsoletos'.</t>
  </si>
  <si>
    <t xml:space="preserve">Anulada por AN y TS; recurso de amparo (STC 89/2022)</t>
  </si>
  <si>
    <t xml:space="preserve">https://www.boe.es/diario_boe/txt.php?id=BOE-A-2022-12753</t>
  </si>
  <si>
    <t xml:space="preserve">https://www.aepd.es/documento/td-02177-2016.pdf</t>
  </si>
  <si>
    <t xml:space="preserve">TD/02364/2016</t>
  </si>
  <si>
    <t xml:space="preserve">dato_judicial</t>
  </si>
  <si>
    <t xml:space="preserve">Estimar (12/04/2017)</t>
  </si>
  <si>
    <t xml:space="preserve">Información relacionada con un auto judicial; debate sobre veracidad.</t>
  </si>
  <si>
    <t xml:space="preserve">Anulada por la AN (27/12/2018); casación ante el TS (2020)</t>
  </si>
  <si>
    <t xml:space="preserve">https://globalfreedomofexpression.columbia.edu/wp-content/uploads/2022/03/STS_2918_2020.pdf</t>
  </si>
  <si>
    <t xml:space="preserve">https://www.aepd.es/documento/td-02364-2016.pdf</t>
  </si>
  <si>
    <t xml:space="preserve">TD/00725/2017</t>
  </si>
  <si>
    <t xml:space="preserve">Estimar (R/02079/2017): una URL</t>
  </si>
  <si>
    <t xml:space="preserve">Blog sobre un procedimiento judicial de una empresa: 'datos obsoletos de los que no se ha acreditado su veracidad'.</t>
  </si>
  <si>
    <t xml:space="preserve">Recurso de amparo (STC 105/2022)</t>
  </si>
  <si>
    <t xml:space="preserve">https://www.iberley.es/jurisprudencia/sentencia-constitucional-n-105-2022-tc-pleno-rec-recurso-amparo-229-2021-13-09-2022-48437839</t>
  </si>
  <si>
    <t xml:space="preserve">https://www.aepd.es/documento/td-00725-2017.pdf</t>
  </si>
  <si>
    <t xml:space="preserve">TD/02351/2017</t>
  </si>
  <si>
    <t xml:space="preserve">Google</t>
  </si>
  <si>
    <t xml:space="preserve">desestimada</t>
  </si>
  <si>
    <t xml:space="preserve">Desestimar (31/05/2018)</t>
  </si>
  <si>
    <t xml:space="preserve">Consta por el recurso de reposición posterior (también desestimado).</t>
  </si>
  <si>
    <t xml:space="preserve">Fragmentos oficiales (buscador)</t>
  </si>
  <si>
    <t xml:space="preserve">https://www.aepd.es/documento/reposicion-td-02351-2017.pdf</t>
  </si>
  <si>
    <t xml:space="preserve">https://www.aepd.es/documento/td-02351-2017.pdf</t>
  </si>
  <si>
    <t xml:space="preserve">TD/00284/2019</t>
  </si>
  <si>
    <t xml:space="preserve">RGPD</t>
  </si>
  <si>
    <t xml:space="preserve">Google LLC</t>
  </si>
  <si>
    <t xml:space="preserve">publica</t>
  </si>
  <si>
    <t xml:space="preserve">DESESTIMAR (R/00003/2020)</t>
  </si>
  <si>
    <t xml:space="preserve">Magistrado: funciones públicas. La AEPD remite la tutela del honor a la vía civil.</t>
  </si>
  <si>
    <t xml:space="preserve">https://www.aepd.es/documento/td-00284-2019.pdf</t>
  </si>
  <si>
    <t xml:space="preserve">TD/00006/2020</t>
  </si>
  <si>
    <t xml:space="preserve">DESESTIMAR (R/00165/2020)</t>
  </si>
  <si>
    <t xml:space="preserve">Noticia sobre la investigación a su exmarido. Google alega relevancia e interés público.</t>
  </si>
  <si>
    <t xml:space="preserve">Texto íntegro revisado</t>
  </si>
  <si>
    <t xml:space="preserve">https://www.aepd.es/documento/td-00006-2020.pdf</t>
  </si>
  <si>
    <t xml:space="preserve">TD/00071/2020</t>
  </si>
  <si>
    <t xml:space="preserve">Google Spain</t>
  </si>
  <si>
    <t xml:space="preserve">dato_registral</t>
  </si>
  <si>
    <t xml:space="preserve">DESESTIMAR (R/00249/2020)</t>
  </si>
  <si>
    <t xml:space="preserve">Nueve URL sobre su actividad profesional (oposiciones, webs institucionales).</t>
  </si>
  <si>
    <t xml:space="preserve">https://www.aepd.es/documento/td-00071-2020.pdf</t>
  </si>
  <si>
    <t xml:space="preserve">TD/00277/2020</t>
  </si>
  <si>
    <t xml:space="preserve">DESESTIMAR (R/00250/2021)</t>
  </si>
  <si>
    <t xml:space="preserve">Blog de opinión que le atribuye un supuesto ilícito penal.</t>
  </si>
  <si>
    <t xml:space="preserve">https://www.aepd.es/documento/td-00277-2020.pdf</t>
  </si>
  <si>
    <t xml:space="preserve">TD/00206/2020</t>
  </si>
  <si>
    <t xml:space="preserve">DESESTIMAR (R/00032/2021)</t>
  </si>
  <si>
    <t xml:space="preserve">Opositor; enlace al BOE. La AEPD indica acudir antes a la fuente original.</t>
  </si>
  <si>
    <t xml:space="preserve">https://www.aepd.es/documento/td-00206-2020.pdf</t>
  </si>
  <si>
    <t xml:space="preserve">TD/00016/2020</t>
  </si>
  <si>
    <t xml:space="preserve">YouTube (Google)</t>
  </si>
  <si>
    <t xml:space="preserve">red_social</t>
  </si>
  <si>
    <t xml:space="preserve">imagen</t>
  </si>
  <si>
    <t xml:space="preserve">revisar</t>
  </si>
  <si>
    <t xml:space="preserve">DESESTIMAR (R/00228/2020)</t>
  </si>
  <si>
    <t xml:space="preserve">Vídeos. Desestimada por no acreditar el ejercicio del derecho: ¿excluir por motivo procedimental?</t>
  </si>
  <si>
    <t xml:space="preserve">https://www.aepd.es/documento/td-00016-2020.pdf</t>
  </si>
  <si>
    <t xml:space="preserve">TD/01833/2017</t>
  </si>
  <si>
    <t xml:space="preserve">Microsoft (Bing)</t>
  </si>
  <si>
    <t xml:space="preserve">Desestima la desindexación por apellidos</t>
  </si>
  <si>
    <t xml:space="preserve">Bing ya había atendido la búsqueda por nombre y apellidos. ¿Parcial o excluir?</t>
  </si>
  <si>
    <t xml:space="preserve">Confirmada por la AN; casación ante el TS</t>
  </si>
  <si>
    <t xml:space="preserve">https://laadministracionaldia.inap.es/noticia.asp?id=1206040</t>
  </si>
  <si>
    <t xml:space="preserve">https://www.aepd.es/documento/td-01833-2017.pdf</t>
  </si>
  <si>
    <t xml:space="preserve">TD/01928/2014</t>
  </si>
  <si>
    <t xml:space="preserve">Reposición ESTIMADA para una URL</t>
  </si>
  <si>
    <t xml:space="preserve">Google alegó papel en la vida pública. Hay que leer la resolución inicial.</t>
  </si>
  <si>
    <t xml:space="preserve">https://www.iberley.es/resoluciones/resolucion-aepd-reposicion-td-01928-2014-25-05-2017-2403740</t>
  </si>
  <si>
    <t xml:space="preserve">https://www.aepd.es/documento/td-01928-2014.pdf</t>
  </si>
  <si>
    <t xml:space="preserve">TD/00227/2020</t>
  </si>
  <si>
    <t xml:space="preserve">(buscador)</t>
  </si>
  <si>
    <t xml:space="preserve">Reposición ESTIMADA (1 de 4 URL)</t>
  </si>
  <si>
    <t xml:space="preserve">Información sobre abusos en el seno de la Iglesia; la reclamada alega libertad de información.</t>
  </si>
  <si>
    <t xml:space="preserve">https://www.aepd.es/documento/reposicion-td-00227-2020.pdf</t>
  </si>
  <si>
    <t xml:space="preserve">https://www.aepd.es/documento/td-00227-2020.pdf</t>
  </si>
  <si>
    <t xml:space="preserve">TD/00173/2021</t>
  </si>
  <si>
    <t xml:space="preserve">BOE y Google LLC</t>
  </si>
  <si>
    <t xml:space="preserve">excluir</t>
  </si>
  <si>
    <t xml:space="preserve">DESESTIMAR (sin objeto)</t>
  </si>
  <si>
    <t xml:space="preserve">El BOE desindexó durante el procedimiento: no refleja una ponderación.</t>
  </si>
  <si>
    <t xml:space="preserve">https://www.aepd.es/documento/td-00173-2021.pdf</t>
  </si>
  <si>
    <t xml:space="preserve">TD/00272/2020</t>
  </si>
  <si>
    <t xml:space="preserve">Listado de concursos de acreedores; las URL ya no aparecían al buscar su nombre.</t>
  </si>
  <si>
    <t xml:space="preserve">https://www.iberley.es/resoluciones/resolucion-aepd-td-00272-2020-11-03-2021-2395305</t>
  </si>
  <si>
    <t xml:space="preserve">https://www.aepd.es/documento/td-00272-2020.pdf</t>
  </si>
  <si>
    <t xml:space="preserve">TD/00044/2021</t>
  </si>
  <si>
    <t xml:space="preserve">Amazon Web Services</t>
  </si>
  <si>
    <t xml:space="preserve">ESTIMAR e instar a certificar o denegar motivadamente</t>
  </si>
  <si>
    <t xml:space="preserve">Estimación formal por falta de respuesta; probablemente no es olvido digital.</t>
  </si>
  <si>
    <t xml:space="preserve">https://www.iberley.es/resoluciones/resolucion-aepd-td-00044-2021-15-06-2021-2394925</t>
  </si>
  <si>
    <t xml:space="preserve">https://www.aepd.es/documento/td-00044-2021.pdf</t>
  </si>
  <si>
    <t xml:space="preserve">Observación</t>
  </si>
  <si>
    <t xml:space="preserve">TD/00700/2016</t>
  </si>
  <si>
    <t xml:space="preserve">Derecho de cancelación</t>
  </si>
  <si>
    <t xml:space="preserve">https://www.aepd.es/documento/td-00700-2016.pdf</t>
  </si>
  <si>
    <t xml:space="preserve">TD/00236/2017</t>
  </si>
  <si>
    <t xml:space="preserve">https://www.aepd.es/documento/td-00236-2017.pdf</t>
  </si>
  <si>
    <t xml:space="preserve">TD/00271/2017</t>
  </si>
  <si>
    <t xml:space="preserve">https://www.aepd.es/documento/td-00271-2017.pdf</t>
  </si>
  <si>
    <t xml:space="preserve">TD/00319/2017</t>
  </si>
  <si>
    <t xml:space="preserve">https://www.aepd.es/documento/td-00319-2017.pdf</t>
  </si>
  <si>
    <t xml:space="preserve">TD/00504/2017</t>
  </si>
  <si>
    <t xml:space="preserve">https://www.aepd.es/documento/td-00504-2017.pdf</t>
  </si>
  <si>
    <t xml:space="preserve">TD/00894/2017</t>
  </si>
  <si>
    <t xml:space="preserve">https://www.aepd.es/documento/td-00894-2017.pdf</t>
  </si>
  <si>
    <t xml:space="preserve">TD/01372/2017</t>
  </si>
  <si>
    <t xml:space="preserve">https://www.aepd.es/documento/td-01372-2017.pdf</t>
  </si>
  <si>
    <t xml:space="preserve">TD/01226/2018</t>
  </si>
  <si>
    <t xml:space="preserve">Derecho de supresión</t>
  </si>
  <si>
    <t xml:space="preserve">https://www.aepd.es/documento/td-01226-2018.pdf</t>
  </si>
  <si>
    <t xml:space="preserve">TD/01229/2018</t>
  </si>
  <si>
    <t xml:space="preserve">https://www.aepd.es/documento/td-01229-2018.pdf</t>
  </si>
  <si>
    <t xml:space="preserve">TD/00027/2019</t>
  </si>
  <si>
    <t xml:space="preserve">Microsoft Ibérica</t>
  </si>
  <si>
    <t xml:space="preserve">Derecho de supresión: variedad de responsable</t>
  </si>
  <si>
    <t xml:space="preserve">https://www.aepd.es/documento/td-00027-2019.pdf</t>
  </si>
  <si>
    <t xml:space="preserve">TD/00247/2021</t>
  </si>
  <si>
    <t xml:space="preserve">https://www.aepd.es/documento/td-00247-2021.pdf</t>
  </si>
  <si>
    <t xml:space="preserve">TD/01289/2015</t>
  </si>
  <si>
    <t xml:space="preserve">BOE</t>
  </si>
  <si>
    <t xml:space="preserve">Indulto; reposición desestimada</t>
  </si>
  <si>
    <t xml:space="preserve">https://www.aepd.es/documento/td-01289-2015.pdf</t>
  </si>
  <si>
    <t xml:space="preserve">Motivo del descarte</t>
  </si>
  <si>
    <t xml:space="preserve">E/01278/2018</t>
  </si>
  <si>
    <t xml:space="preserve">Archivo de actuaciones: cuenta de cliente en una tienda online</t>
  </si>
  <si>
    <t xml:space="preserve">TD/00264/2019</t>
  </si>
  <si>
    <t xml:space="preserve">Derecho de acceso a una grabación telefónica (Telefónica)</t>
  </si>
  <si>
    <t xml:space="preserve">TD/00161/2020</t>
  </si>
  <si>
    <t xml:space="preserve">Supresión en la base de datos de una empresa</t>
  </si>
  <si>
    <t xml:space="preserve">TD/00063/2020</t>
  </si>
  <si>
    <t xml:space="preserve">Supresión frente a la Xunta de Galicia</t>
  </si>
  <si>
    <t xml:space="preserve">TD/00267/2020</t>
  </si>
  <si>
    <t xml:space="preserve">Supresión frente a una residencia de mayores</t>
  </si>
  <si>
    <t xml:space="preserve">TD/00077/2020</t>
  </si>
  <si>
    <t xml:space="preserve">Correo electrónico de una antigua empleada</t>
  </si>
  <si>
    <t xml:space="preserve">TD/00208/2021</t>
  </si>
  <si>
    <t xml:space="preserve">Acceso y supresión frente a un banco</t>
  </si>
  <si>
    <t xml:space="preserve">Resumen del corpus (fórmulas sobre la hoja Corpus)</t>
  </si>
  <si>
    <t xml:space="preserve">Resultado</t>
  </si>
  <si>
    <t xml:space="preserve">estimada_parcialmente</t>
  </si>
  <si>
    <t xml:space="preserve">Total en Corpus</t>
  </si>
  <si>
    <t xml:space="preserve">Utilizables para el modelo (sin excluir ni revisar)</t>
  </si>
  <si>
    <t xml:space="preserve">LOPD (2014-2018)</t>
  </si>
  <si>
    <t xml:space="preserve">RGPD (2018-)</t>
  </si>
  <si>
    <t xml:space="preserve">Expedientes pendientes de descargar</t>
  </si>
  <si>
    <t xml:space="preserve">Expedientes descartados</t>
  </si>
  <si>
    <t xml:space="preserve">Objetivo del proyecto (casos utilizables)</t>
  </si>
  <si>
    <t xml:space="preserve">Supuesto: objetivo fijado en la Entrega 2 (250-400 resoluciones).</t>
  </si>
  <si>
    <t xml:space="preserve">Progreso hacia el objetivo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</si>
</sst>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F4E9A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2B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C2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E8DC"/>
          <bgColor rgb="FF000000"/>
        </patternFill>
      </fill>
    </dxf>
    <dxf>
      <fill>
        <patternFill patternType="solid">
          <fgColor rgb="FFE7E7E7"/>
          <bgColor rgb="FF000000"/>
        </patternFill>
      </fill>
    </dxf>
    <dxf>
      <fill>
        <patternFill patternType="solid">
          <fgColor rgb="FFF2D7D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4E9A"/>
          <bgColor rgb="FF000000"/>
        </patternFill>
      </fill>
    </dxf>
    <dxf>
      <fill>
        <patternFill>
          <bgColor rgb="FFD5E8DC"/>
        </patternFill>
      </fill>
    </dxf>
    <dxf>
      <fill>
        <patternFill>
          <bgColor rgb="FFF2D7D5"/>
        </patternFill>
      </fill>
    </dxf>
    <dxf>
      <fill>
        <patternFill>
          <bgColor rgb="FFF5E6C8"/>
        </patternFill>
      </fill>
    </dxf>
    <dxf>
      <fill>
        <patternFill>
          <bgColor rgb="FFFFF2CC"/>
        </patternFill>
      </fill>
    </dxf>
    <dxf>
      <fill>
        <patternFill>
          <bgColor rgb="FFE7E7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7E7"/>
      <rgbColor rgb="FF660066"/>
      <rgbColor rgb="FFFF8080"/>
      <rgbColor rgb="FF0066CC"/>
      <rgbColor rgb="FFD8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C"/>
      <rgbColor rgb="FFF5E6C8"/>
      <rgbColor rgb="FF99CCFF"/>
      <rgbColor rgb="FFFF99CC"/>
      <rgbColor rgb="FFCC99FF"/>
      <rgbColor rgb="FFF2D7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lobalfreedomofexpression.columbia.edu/wp-content/uploads/2022/03/SAN_2433_2017.pdf" TargetMode="External"/><Relationship Id="rId2" Type="http://schemas.openxmlformats.org/officeDocument/2006/relationships/hyperlink" Target="https://www.aepd.es/documento/td-00072-2015.pdf" TargetMode="External"/><Relationship Id="rId3" Type="http://schemas.openxmlformats.org/officeDocument/2006/relationships/hyperlink" Target="https://laadministracionaldia.inap.es/noticia.asp?id=1189643" TargetMode="External"/><Relationship Id="rId4" Type="http://schemas.openxmlformats.org/officeDocument/2006/relationships/hyperlink" Target="https://www.aepd.es/documento/td-01416-2014.pdf" TargetMode="External"/><Relationship Id="rId5" Type="http://schemas.openxmlformats.org/officeDocument/2006/relationships/hyperlink" Target="https://www.boe.es/diario_boe/txt.php?id=BOE-A-2022-12753" TargetMode="External"/><Relationship Id="rId6" Type="http://schemas.openxmlformats.org/officeDocument/2006/relationships/hyperlink" Target="https://www.aepd.es/documento/td-02177-2016.pdf" TargetMode="External"/><Relationship Id="rId7" Type="http://schemas.openxmlformats.org/officeDocument/2006/relationships/hyperlink" Target="https://globalfreedomofexpression.columbia.edu/wp-content/uploads/2022/03/STS_2918_2020.pdf" TargetMode="External"/><Relationship Id="rId8" Type="http://schemas.openxmlformats.org/officeDocument/2006/relationships/hyperlink" Target="https://www.aepd.es/documento/td-02364-2016.pdf" TargetMode="External"/><Relationship Id="rId9" Type="http://schemas.openxmlformats.org/officeDocument/2006/relationships/hyperlink" Target="https://www.iberley.es/jurisprudencia/sentencia-constitucional-n-105-2022-tc-pleno-rec-recurso-amparo-229-2021-13-09-2022-48437839" TargetMode="External"/><Relationship Id="rId10" Type="http://schemas.openxmlformats.org/officeDocument/2006/relationships/hyperlink" Target="https://www.aepd.es/documento/td-00725-2017.pdf" TargetMode="External"/><Relationship Id="rId11" Type="http://schemas.openxmlformats.org/officeDocument/2006/relationships/hyperlink" Target="https://www.aepd.es/documento/reposicion-td-02351-2017.pdf" TargetMode="External"/><Relationship Id="rId12" Type="http://schemas.openxmlformats.org/officeDocument/2006/relationships/hyperlink" Target="https://www.aepd.es/documento/td-02351-2017.pdf" TargetMode="External"/><Relationship Id="rId13" Type="http://schemas.openxmlformats.org/officeDocument/2006/relationships/hyperlink" Target="https://www.aepd.es/documento/td-00284-2019.pdf" TargetMode="External"/><Relationship Id="rId14" Type="http://schemas.openxmlformats.org/officeDocument/2006/relationships/hyperlink" Target="https://www.aepd.es/documento/td-00284-2019.pdf" TargetMode="External"/><Relationship Id="rId15" Type="http://schemas.openxmlformats.org/officeDocument/2006/relationships/hyperlink" Target="https://www.aepd.es/documento/td-00006-2020.pdf" TargetMode="External"/><Relationship Id="rId16" Type="http://schemas.openxmlformats.org/officeDocument/2006/relationships/hyperlink" Target="https://www.aepd.es/documento/td-00006-2020.pdf" TargetMode="External"/><Relationship Id="rId17" Type="http://schemas.openxmlformats.org/officeDocument/2006/relationships/hyperlink" Target="https://www.aepd.es/documento/td-00071-2020.pdf" TargetMode="External"/><Relationship Id="rId18" Type="http://schemas.openxmlformats.org/officeDocument/2006/relationships/hyperlink" Target="https://www.aepd.es/documento/td-00071-2020.pdf" TargetMode="External"/><Relationship Id="rId19" Type="http://schemas.openxmlformats.org/officeDocument/2006/relationships/hyperlink" Target="https://www.aepd.es/documento/td-00277-2020.pdf" TargetMode="External"/><Relationship Id="rId20" Type="http://schemas.openxmlformats.org/officeDocument/2006/relationships/hyperlink" Target="https://www.aepd.es/documento/td-00277-2020.pdf" TargetMode="External"/><Relationship Id="rId21" Type="http://schemas.openxmlformats.org/officeDocument/2006/relationships/hyperlink" Target="https://www.aepd.es/documento/td-00206-2020.pdf" TargetMode="External"/><Relationship Id="rId22" Type="http://schemas.openxmlformats.org/officeDocument/2006/relationships/hyperlink" Target="https://www.aepd.es/documento/td-00206-2020.pdf" TargetMode="External"/><Relationship Id="rId23" Type="http://schemas.openxmlformats.org/officeDocument/2006/relationships/hyperlink" Target="https://www.aepd.es/documento/td-00016-2020.pdf" TargetMode="External"/><Relationship Id="rId24" Type="http://schemas.openxmlformats.org/officeDocument/2006/relationships/hyperlink" Target="https://www.aepd.es/documento/td-00016-2020.pdf" TargetMode="External"/><Relationship Id="rId25" Type="http://schemas.openxmlformats.org/officeDocument/2006/relationships/hyperlink" Target="https://laadministracionaldia.inap.es/noticia.asp?id=1206040" TargetMode="External"/><Relationship Id="rId26" Type="http://schemas.openxmlformats.org/officeDocument/2006/relationships/hyperlink" Target="https://www.aepd.es/documento/td-01833-2017.pdf" TargetMode="External"/><Relationship Id="rId27" Type="http://schemas.openxmlformats.org/officeDocument/2006/relationships/hyperlink" Target="https://www.iberley.es/resoluciones/resolucion-aepd-reposicion-td-01928-2014-25-05-2017-2403740" TargetMode="External"/><Relationship Id="rId28" Type="http://schemas.openxmlformats.org/officeDocument/2006/relationships/hyperlink" Target="https://www.aepd.es/documento/td-01928-2014.pdf" TargetMode="External"/><Relationship Id="rId29" Type="http://schemas.openxmlformats.org/officeDocument/2006/relationships/hyperlink" Target="https://www.aepd.es/documento/reposicion-td-00227-2020.pdf" TargetMode="External"/><Relationship Id="rId30" Type="http://schemas.openxmlformats.org/officeDocument/2006/relationships/hyperlink" Target="https://www.aepd.es/documento/td-00227-2020.pdf" TargetMode="External"/><Relationship Id="rId31" Type="http://schemas.openxmlformats.org/officeDocument/2006/relationships/hyperlink" Target="https://www.aepd.es/documento/td-00173-2021.pdf" TargetMode="External"/><Relationship Id="rId32" Type="http://schemas.openxmlformats.org/officeDocument/2006/relationships/hyperlink" Target="https://www.aepd.es/documento/td-00173-2021.pdf" TargetMode="External"/><Relationship Id="rId33" Type="http://schemas.openxmlformats.org/officeDocument/2006/relationships/hyperlink" Target="https://www.iberley.es/resoluciones/resolucion-aepd-td-00272-2020-11-03-2021-2395305" TargetMode="External"/><Relationship Id="rId34" Type="http://schemas.openxmlformats.org/officeDocument/2006/relationships/hyperlink" Target="https://www.aepd.es/documento/td-00272-2020.pdf" TargetMode="External"/><Relationship Id="rId35" Type="http://schemas.openxmlformats.org/officeDocument/2006/relationships/hyperlink" Target="https://www.iberley.es/resoluciones/resolucion-aepd-td-00044-2021-15-06-2021-2394925" TargetMode="External"/><Relationship Id="rId36" Type="http://schemas.openxmlformats.org/officeDocument/2006/relationships/hyperlink" Target="https://www.aepd.es/documento/td-00044-2021.pdf" TargetMode="External"/><Relationship Id="rId3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epd.es/documento/td-00700-2016.pdf" TargetMode="External"/><Relationship Id="rId2" Type="http://schemas.openxmlformats.org/officeDocument/2006/relationships/hyperlink" Target="https://www.aepd.es/documento/td-00236-2017.pdf" TargetMode="External"/><Relationship Id="rId3" Type="http://schemas.openxmlformats.org/officeDocument/2006/relationships/hyperlink" Target="https://www.aepd.es/documento/td-00271-2017.pdf" TargetMode="External"/><Relationship Id="rId4" Type="http://schemas.openxmlformats.org/officeDocument/2006/relationships/hyperlink" Target="https://www.aepd.es/documento/td-00319-2017.pdf" TargetMode="External"/><Relationship Id="rId5" Type="http://schemas.openxmlformats.org/officeDocument/2006/relationships/hyperlink" Target="https://www.aepd.es/documento/td-00504-2017.pdf" TargetMode="External"/><Relationship Id="rId6" Type="http://schemas.openxmlformats.org/officeDocument/2006/relationships/hyperlink" Target="https://www.aepd.es/documento/td-00894-2017.pdf" TargetMode="External"/><Relationship Id="rId7" Type="http://schemas.openxmlformats.org/officeDocument/2006/relationships/hyperlink" Target="https://www.aepd.es/documento/td-01372-2017.pdf" TargetMode="External"/><Relationship Id="rId8" Type="http://schemas.openxmlformats.org/officeDocument/2006/relationships/hyperlink" Target="https://www.aepd.es/documento/td-01226-2018.pdf" TargetMode="External"/><Relationship Id="rId9" Type="http://schemas.openxmlformats.org/officeDocument/2006/relationships/hyperlink" Target="https://www.aepd.es/documento/td-01229-2018.pdf" TargetMode="External"/><Relationship Id="rId10" Type="http://schemas.openxmlformats.org/officeDocument/2006/relationships/hyperlink" Target="https://www.aepd.es/documento/td-00027-2019.pdf" TargetMode="External"/><Relationship Id="rId11" Type="http://schemas.openxmlformats.org/officeDocument/2006/relationships/hyperlink" Target="https://www.aepd.es/documento/td-00247-2021.pdf" TargetMode="External"/><Relationship Id="rId12" Type="http://schemas.openxmlformats.org/officeDocument/2006/relationships/hyperlink" Target="https://www.aepd.es/documento/td-01289-2015.pdf" TargetMode="External"/><Relationship Id="rId1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48"/>
    <col collapsed="false" customWidth="true" hidden="false" outlineLevel="0" max="14" min="14" style="0" width="34"/>
    <col collapsed="false" customWidth="true" hidden="false" outlineLevel="0" max="15" min="15" style="0" width="22"/>
    <col collapsed="false" customWidth="true" hidden="false" outlineLevel="0" max="17" min="16" style="0" width="30"/>
  </cols>
  <sheetData>
    <row r="1" customFormat="false" ht="31.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8</v>
      </c>
      <c r="P1" s="4" t="s">
        <v>30</v>
      </c>
      <c r="Q1" s="4" t="s">
        <v>31</v>
      </c>
    </row>
    <row r="2" customFormat="false" ht="23.85" hidden="false" customHeight="false" outlineLevel="0" collapsed="false">
      <c r="A2" s="5" t="s">
        <v>32</v>
      </c>
      <c r="B2" s="5" t="n">
        <v>2015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/>
      <c r="I2" s="5" t="n">
        <v>0</v>
      </c>
      <c r="J2" s="5"/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6" t="s">
        <v>43</v>
      </c>
      <c r="Q2" s="6" t="s">
        <v>44</v>
      </c>
    </row>
    <row r="3" customFormat="false" ht="23.85" hidden="false" customHeight="false" outlineLevel="0" collapsed="false">
      <c r="A3" s="5" t="s">
        <v>45</v>
      </c>
      <c r="B3" s="5" t="n">
        <v>2015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46</v>
      </c>
      <c r="H3" s="5"/>
      <c r="I3" s="5" t="n">
        <v>0</v>
      </c>
      <c r="J3" s="5"/>
      <c r="K3" s="5" t="s">
        <v>38</v>
      </c>
      <c r="L3" s="5" t="s">
        <v>47</v>
      </c>
      <c r="M3" s="5" t="s">
        <v>48</v>
      </c>
      <c r="N3" s="5" t="s">
        <v>49</v>
      </c>
      <c r="O3" s="5" t="s">
        <v>42</v>
      </c>
      <c r="P3" s="6" t="s">
        <v>50</v>
      </c>
      <c r="Q3" s="6" t="s">
        <v>51</v>
      </c>
    </row>
    <row r="4" customFormat="false" ht="23.85" hidden="false" customHeight="false" outlineLevel="0" collapsed="false">
      <c r="A4" s="5" t="s">
        <v>52</v>
      </c>
      <c r="B4" s="5" t="n">
        <v>2017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/>
      <c r="I4" s="5" t="n">
        <v>0</v>
      </c>
      <c r="J4" s="5"/>
      <c r="K4" s="5" t="s">
        <v>38</v>
      </c>
      <c r="L4" s="5" t="s">
        <v>53</v>
      </c>
      <c r="M4" s="5" t="s">
        <v>54</v>
      </c>
      <c r="N4" s="5" t="s">
        <v>55</v>
      </c>
      <c r="O4" s="5" t="s">
        <v>42</v>
      </c>
      <c r="P4" s="6" t="s">
        <v>56</v>
      </c>
      <c r="Q4" s="6" t="s">
        <v>57</v>
      </c>
    </row>
    <row r="5" customFormat="false" ht="23.85" hidden="false" customHeight="false" outlineLevel="0" collapsed="false">
      <c r="A5" s="5" t="s">
        <v>58</v>
      </c>
      <c r="B5" s="5" t="n">
        <v>2017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59</v>
      </c>
      <c r="H5" s="5"/>
      <c r="I5" s="5" t="n">
        <v>0</v>
      </c>
      <c r="J5" s="5"/>
      <c r="K5" s="5" t="s">
        <v>38</v>
      </c>
      <c r="L5" s="5" t="s">
        <v>60</v>
      </c>
      <c r="M5" s="5" t="s">
        <v>61</v>
      </c>
      <c r="N5" s="5" t="s">
        <v>62</v>
      </c>
      <c r="O5" s="5" t="s">
        <v>42</v>
      </c>
      <c r="P5" s="6" t="s">
        <v>63</v>
      </c>
      <c r="Q5" s="6" t="s">
        <v>64</v>
      </c>
    </row>
    <row r="6" customFormat="false" ht="35.05" hidden="false" customHeight="false" outlineLevel="0" collapsed="false">
      <c r="A6" s="5" t="s">
        <v>65</v>
      </c>
      <c r="B6" s="5" t="n">
        <v>2017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/>
      <c r="I6" s="5" t="n">
        <v>0</v>
      </c>
      <c r="J6" s="5"/>
      <c r="K6" s="5" t="s">
        <v>38</v>
      </c>
      <c r="L6" s="5" t="s">
        <v>66</v>
      </c>
      <c r="M6" s="5" t="s">
        <v>67</v>
      </c>
      <c r="N6" s="5" t="s">
        <v>68</v>
      </c>
      <c r="O6" s="5" t="s">
        <v>42</v>
      </c>
      <c r="P6" s="6" t="s">
        <v>69</v>
      </c>
      <c r="Q6" s="6" t="s">
        <v>70</v>
      </c>
    </row>
    <row r="7" customFormat="false" ht="23.85" hidden="false" customHeight="false" outlineLevel="0" collapsed="false">
      <c r="A7" s="5" t="s">
        <v>71</v>
      </c>
      <c r="B7" s="5" t="n">
        <v>2018</v>
      </c>
      <c r="C7" s="5" t="s">
        <v>33</v>
      </c>
      <c r="D7" s="5" t="s">
        <v>72</v>
      </c>
      <c r="E7" s="5" t="s">
        <v>35</v>
      </c>
      <c r="F7" s="5"/>
      <c r="G7" s="5"/>
      <c r="H7" s="5"/>
      <c r="I7" s="5"/>
      <c r="J7" s="5"/>
      <c r="K7" s="5" t="s">
        <v>73</v>
      </c>
      <c r="L7" s="5" t="s">
        <v>74</v>
      </c>
      <c r="M7" s="5" t="s">
        <v>75</v>
      </c>
      <c r="N7" s="5"/>
      <c r="O7" s="5" t="s">
        <v>76</v>
      </c>
      <c r="P7" s="6" t="s">
        <v>77</v>
      </c>
      <c r="Q7" s="6" t="s">
        <v>78</v>
      </c>
    </row>
    <row r="8" customFormat="false" ht="23.85" hidden="false" customHeight="false" outlineLevel="0" collapsed="false">
      <c r="A8" s="5" t="s">
        <v>79</v>
      </c>
      <c r="B8" s="5" t="n">
        <v>2020</v>
      </c>
      <c r="C8" s="5" t="s">
        <v>80</v>
      </c>
      <c r="D8" s="5" t="s">
        <v>81</v>
      </c>
      <c r="E8" s="5" t="s">
        <v>35</v>
      </c>
      <c r="F8" s="5" t="s">
        <v>82</v>
      </c>
      <c r="G8" s="5"/>
      <c r="H8" s="5"/>
      <c r="I8" s="5" t="n">
        <v>0</v>
      </c>
      <c r="J8" s="5"/>
      <c r="K8" s="5" t="s">
        <v>73</v>
      </c>
      <c r="L8" s="5" t="s">
        <v>83</v>
      </c>
      <c r="M8" s="5" t="s">
        <v>84</v>
      </c>
      <c r="N8" s="5"/>
      <c r="O8" s="5" t="s">
        <v>76</v>
      </c>
      <c r="P8" s="6" t="s">
        <v>85</v>
      </c>
      <c r="Q8" s="6" t="s">
        <v>85</v>
      </c>
    </row>
    <row r="9" customFormat="false" ht="23.85" hidden="false" customHeight="false" outlineLevel="0" collapsed="false">
      <c r="A9" s="5" t="s">
        <v>86</v>
      </c>
      <c r="B9" s="5" t="n">
        <v>2020</v>
      </c>
      <c r="C9" s="5" t="s">
        <v>80</v>
      </c>
      <c r="D9" s="5" t="s">
        <v>81</v>
      </c>
      <c r="E9" s="5" t="s">
        <v>35</v>
      </c>
      <c r="F9" s="5" t="s">
        <v>36</v>
      </c>
      <c r="G9" s="5" t="s">
        <v>46</v>
      </c>
      <c r="H9" s="5"/>
      <c r="I9" s="5" t="n">
        <v>0</v>
      </c>
      <c r="J9" s="5" t="n">
        <v>1</v>
      </c>
      <c r="K9" s="5" t="s">
        <v>73</v>
      </c>
      <c r="L9" s="5" t="s">
        <v>87</v>
      </c>
      <c r="M9" s="5" t="s">
        <v>88</v>
      </c>
      <c r="N9" s="5"/>
      <c r="O9" s="5" t="s">
        <v>89</v>
      </c>
      <c r="P9" s="6" t="s">
        <v>90</v>
      </c>
      <c r="Q9" s="6" t="s">
        <v>90</v>
      </c>
    </row>
    <row r="10" customFormat="false" ht="23.85" hidden="false" customHeight="false" outlineLevel="0" collapsed="false">
      <c r="A10" s="5" t="s">
        <v>91</v>
      </c>
      <c r="B10" s="5" t="n">
        <v>2020</v>
      </c>
      <c r="C10" s="5" t="s">
        <v>80</v>
      </c>
      <c r="D10" s="5" t="s">
        <v>92</v>
      </c>
      <c r="E10" s="5" t="s">
        <v>35</v>
      </c>
      <c r="F10" s="5" t="s">
        <v>36</v>
      </c>
      <c r="G10" s="5" t="s">
        <v>93</v>
      </c>
      <c r="H10" s="5"/>
      <c r="I10" s="5" t="n">
        <v>0</v>
      </c>
      <c r="J10" s="5" t="n">
        <v>1</v>
      </c>
      <c r="K10" s="5" t="s">
        <v>73</v>
      </c>
      <c r="L10" s="5" t="s">
        <v>94</v>
      </c>
      <c r="M10" s="5" t="s">
        <v>95</v>
      </c>
      <c r="N10" s="5"/>
      <c r="O10" s="5" t="s">
        <v>89</v>
      </c>
      <c r="P10" s="6" t="s">
        <v>96</v>
      </c>
      <c r="Q10" s="6" t="s">
        <v>96</v>
      </c>
    </row>
    <row r="11" customFormat="false" ht="15" hidden="false" customHeight="false" outlineLevel="0" collapsed="false">
      <c r="A11" s="5" t="s">
        <v>97</v>
      </c>
      <c r="B11" s="5" t="n">
        <v>2021</v>
      </c>
      <c r="C11" s="5" t="s">
        <v>80</v>
      </c>
      <c r="D11" s="5" t="s">
        <v>81</v>
      </c>
      <c r="E11" s="5" t="s">
        <v>35</v>
      </c>
      <c r="F11" s="5" t="s">
        <v>36</v>
      </c>
      <c r="G11" s="5" t="s">
        <v>37</v>
      </c>
      <c r="H11" s="5"/>
      <c r="I11" s="5" t="n">
        <v>0</v>
      </c>
      <c r="J11" s="5" t="n">
        <v>1</v>
      </c>
      <c r="K11" s="5" t="s">
        <v>73</v>
      </c>
      <c r="L11" s="5" t="s">
        <v>98</v>
      </c>
      <c r="M11" s="5" t="s">
        <v>99</v>
      </c>
      <c r="N11" s="5"/>
      <c r="O11" s="5" t="s">
        <v>89</v>
      </c>
      <c r="P11" s="6" t="s">
        <v>100</v>
      </c>
      <c r="Q11" s="6" t="s">
        <v>100</v>
      </c>
    </row>
    <row r="12" customFormat="false" ht="23.85" hidden="false" customHeight="false" outlineLevel="0" collapsed="false">
      <c r="A12" s="5" t="s">
        <v>101</v>
      </c>
      <c r="B12" s="5" t="n">
        <v>2021</v>
      </c>
      <c r="C12" s="5" t="s">
        <v>80</v>
      </c>
      <c r="D12" s="5" t="s">
        <v>81</v>
      </c>
      <c r="E12" s="5" t="s">
        <v>35</v>
      </c>
      <c r="F12" s="5" t="s">
        <v>36</v>
      </c>
      <c r="G12" s="5" t="s">
        <v>93</v>
      </c>
      <c r="H12" s="5"/>
      <c r="I12" s="5" t="n">
        <v>0</v>
      </c>
      <c r="J12" s="5"/>
      <c r="K12" s="5" t="s">
        <v>73</v>
      </c>
      <c r="L12" s="5" t="s">
        <v>102</v>
      </c>
      <c r="M12" s="5" t="s">
        <v>103</v>
      </c>
      <c r="N12" s="5"/>
      <c r="O12" s="5" t="s">
        <v>76</v>
      </c>
      <c r="P12" s="6" t="s">
        <v>104</v>
      </c>
      <c r="Q12" s="6" t="s">
        <v>104</v>
      </c>
    </row>
    <row r="13" customFormat="false" ht="23.85" hidden="false" customHeight="false" outlineLevel="0" collapsed="false">
      <c r="A13" s="5" t="s">
        <v>105</v>
      </c>
      <c r="B13" s="5" t="n">
        <v>2020</v>
      </c>
      <c r="C13" s="5" t="s">
        <v>80</v>
      </c>
      <c r="D13" s="5" t="s">
        <v>106</v>
      </c>
      <c r="E13" s="5" t="s">
        <v>107</v>
      </c>
      <c r="F13" s="5"/>
      <c r="G13" s="5" t="s">
        <v>108</v>
      </c>
      <c r="H13" s="5"/>
      <c r="I13" s="5"/>
      <c r="J13" s="5"/>
      <c r="K13" s="5" t="s">
        <v>109</v>
      </c>
      <c r="L13" s="5" t="s">
        <v>110</v>
      </c>
      <c r="M13" s="5" t="s">
        <v>111</v>
      </c>
      <c r="N13" s="5"/>
      <c r="O13" s="5" t="s">
        <v>76</v>
      </c>
      <c r="P13" s="6" t="s">
        <v>112</v>
      </c>
      <c r="Q13" s="6" t="s">
        <v>112</v>
      </c>
    </row>
    <row r="14" customFormat="false" ht="23.85" hidden="false" customHeight="false" outlineLevel="0" collapsed="false">
      <c r="A14" s="5" t="s">
        <v>113</v>
      </c>
      <c r="B14" s="5" t="n">
        <v>2018</v>
      </c>
      <c r="C14" s="5" t="s">
        <v>33</v>
      </c>
      <c r="D14" s="5" t="s">
        <v>114</v>
      </c>
      <c r="E14" s="5" t="s">
        <v>35</v>
      </c>
      <c r="F14" s="5"/>
      <c r="G14" s="5"/>
      <c r="H14" s="5"/>
      <c r="I14" s="5"/>
      <c r="J14" s="5"/>
      <c r="K14" s="5" t="s">
        <v>109</v>
      </c>
      <c r="L14" s="5" t="s">
        <v>115</v>
      </c>
      <c r="M14" s="5" t="s">
        <v>116</v>
      </c>
      <c r="N14" s="5" t="s">
        <v>117</v>
      </c>
      <c r="O14" s="5" t="s">
        <v>42</v>
      </c>
      <c r="P14" s="6" t="s">
        <v>118</v>
      </c>
      <c r="Q14" s="6" t="s">
        <v>119</v>
      </c>
    </row>
    <row r="15" customFormat="false" ht="23.85" hidden="false" customHeight="false" outlineLevel="0" collapsed="false">
      <c r="A15" s="5" t="s">
        <v>120</v>
      </c>
      <c r="B15" s="5" t="n">
        <v>2017</v>
      </c>
      <c r="C15" s="5" t="s">
        <v>33</v>
      </c>
      <c r="D15" s="5" t="s">
        <v>34</v>
      </c>
      <c r="E15" s="5" t="s">
        <v>35</v>
      </c>
      <c r="F15" s="5"/>
      <c r="G15" s="5"/>
      <c r="H15" s="5"/>
      <c r="I15" s="5"/>
      <c r="J15" s="5"/>
      <c r="K15" s="5" t="s">
        <v>109</v>
      </c>
      <c r="L15" s="5" t="s">
        <v>121</v>
      </c>
      <c r="M15" s="5" t="s">
        <v>122</v>
      </c>
      <c r="N15" s="5"/>
      <c r="O15" s="5" t="s">
        <v>76</v>
      </c>
      <c r="P15" s="6" t="s">
        <v>123</v>
      </c>
      <c r="Q15" s="6" t="s">
        <v>124</v>
      </c>
    </row>
    <row r="16" customFormat="false" ht="23.85" hidden="false" customHeight="false" outlineLevel="0" collapsed="false">
      <c r="A16" s="5" t="s">
        <v>125</v>
      </c>
      <c r="B16" s="5" t="n">
        <v>2020</v>
      </c>
      <c r="C16" s="5" t="s">
        <v>80</v>
      </c>
      <c r="D16" s="5" t="s">
        <v>126</v>
      </c>
      <c r="E16" s="5" t="s">
        <v>35</v>
      </c>
      <c r="F16" s="5"/>
      <c r="G16" s="5"/>
      <c r="H16" s="5"/>
      <c r="I16" s="5"/>
      <c r="J16" s="5" t="n">
        <v>1</v>
      </c>
      <c r="K16" s="5" t="s">
        <v>109</v>
      </c>
      <c r="L16" s="5" t="s">
        <v>127</v>
      </c>
      <c r="M16" s="5" t="s">
        <v>128</v>
      </c>
      <c r="N16" s="5"/>
      <c r="O16" s="5" t="s">
        <v>76</v>
      </c>
      <c r="P16" s="6" t="s">
        <v>129</v>
      </c>
      <c r="Q16" s="6" t="s">
        <v>130</v>
      </c>
    </row>
    <row r="17" customFormat="false" ht="23.85" hidden="false" customHeight="false" outlineLevel="0" collapsed="false">
      <c r="A17" s="5" t="s">
        <v>131</v>
      </c>
      <c r="B17" s="5" t="n">
        <v>2021</v>
      </c>
      <c r="C17" s="5" t="s">
        <v>80</v>
      </c>
      <c r="D17" s="5" t="s">
        <v>132</v>
      </c>
      <c r="E17" s="5" t="s">
        <v>35</v>
      </c>
      <c r="F17" s="5" t="s">
        <v>36</v>
      </c>
      <c r="G17" s="5" t="s">
        <v>59</v>
      </c>
      <c r="H17" s="5" t="n">
        <v>0</v>
      </c>
      <c r="I17" s="5" t="n">
        <v>0</v>
      </c>
      <c r="J17" s="5" t="n">
        <v>1</v>
      </c>
      <c r="K17" s="5" t="s">
        <v>133</v>
      </c>
      <c r="L17" s="5" t="s">
        <v>134</v>
      </c>
      <c r="M17" s="5" t="s">
        <v>135</v>
      </c>
      <c r="N17" s="5"/>
      <c r="O17" s="5" t="s">
        <v>89</v>
      </c>
      <c r="P17" s="6" t="s">
        <v>136</v>
      </c>
      <c r="Q17" s="6" t="s">
        <v>136</v>
      </c>
    </row>
    <row r="18" customFormat="false" ht="23.85" hidden="false" customHeight="false" outlineLevel="0" collapsed="false">
      <c r="A18" s="5" t="s">
        <v>137</v>
      </c>
      <c r="B18" s="5" t="n">
        <v>2021</v>
      </c>
      <c r="C18" s="5" t="s">
        <v>80</v>
      </c>
      <c r="D18" s="5" t="s">
        <v>81</v>
      </c>
      <c r="E18" s="5" t="s">
        <v>35</v>
      </c>
      <c r="F18" s="5" t="s">
        <v>36</v>
      </c>
      <c r="G18" s="5" t="s">
        <v>59</v>
      </c>
      <c r="H18" s="5"/>
      <c r="I18" s="5" t="n">
        <v>0</v>
      </c>
      <c r="J18" s="5" t="n">
        <v>1</v>
      </c>
      <c r="K18" s="5" t="s">
        <v>133</v>
      </c>
      <c r="L18" s="5" t="s">
        <v>134</v>
      </c>
      <c r="M18" s="5" t="s">
        <v>138</v>
      </c>
      <c r="N18" s="5"/>
      <c r="O18" s="5" t="s">
        <v>89</v>
      </c>
      <c r="P18" s="6" t="s">
        <v>139</v>
      </c>
      <c r="Q18" s="6" t="s">
        <v>140</v>
      </c>
    </row>
    <row r="19" customFormat="false" ht="23.85" hidden="false" customHeight="false" outlineLevel="0" collapsed="false">
      <c r="A19" s="5" t="s">
        <v>141</v>
      </c>
      <c r="B19" s="5" t="n">
        <v>2021</v>
      </c>
      <c r="C19" s="5" t="s">
        <v>80</v>
      </c>
      <c r="D19" s="5" t="s">
        <v>142</v>
      </c>
      <c r="E19" s="5" t="s">
        <v>37</v>
      </c>
      <c r="F19" s="5"/>
      <c r="G19" s="5"/>
      <c r="H19" s="5"/>
      <c r="I19" s="5"/>
      <c r="J19" s="5"/>
      <c r="K19" s="5" t="s">
        <v>133</v>
      </c>
      <c r="L19" s="5" t="s">
        <v>143</v>
      </c>
      <c r="M19" s="5" t="s">
        <v>144</v>
      </c>
      <c r="N19" s="5"/>
      <c r="O19" s="5" t="s">
        <v>76</v>
      </c>
      <c r="P19" s="6" t="s">
        <v>145</v>
      </c>
      <c r="Q19" s="6" t="s">
        <v>146</v>
      </c>
    </row>
  </sheetData>
  <autoFilter ref="A1:Q19"/>
  <conditionalFormatting sqref="K2:K19">
    <cfRule type="cellIs" priority="2" operator="equal" aboveAverage="0" equalAverage="0" bottom="0" percent="0" rank="0" text="" dxfId="8">
      <formula>"estimada"</formula>
    </cfRule>
    <cfRule type="cellIs" priority="3" operator="equal" aboveAverage="0" equalAverage="0" bottom="0" percent="0" rank="0" text="" dxfId="9">
      <formula>"desestimada"</formula>
    </cfRule>
    <cfRule type="cellIs" priority="4" operator="equal" aboveAverage="0" equalAverage="0" bottom="0" percent="0" rank="0" text="" dxfId="10">
      <formula>"estimada_parcialmente"</formula>
    </cfRule>
    <cfRule type="cellIs" priority="5" operator="equal" aboveAverage="0" equalAverage="0" bottom="0" percent="0" rank="0" text="" dxfId="11">
      <formula>"revisar"</formula>
    </cfRule>
    <cfRule type="cellIs" priority="6" operator="equal" aboveAverage="0" equalAverage="0" bottom="0" percent="0" rank="0" text="" dxfId="12">
      <formula>"excluir"</formula>
    </cfRule>
  </conditionalFormatting>
  <hyperlinks>
    <hyperlink ref="P2" r:id="rId1" display="https://globalfreedomofexpression.columbia.edu/wp-content/uploads/2022/03/SAN_2433_2017.pdf"/>
    <hyperlink ref="Q2" r:id="rId2" display="https://www.aepd.es/documento/td-00072-2015.pdf"/>
    <hyperlink ref="P3" r:id="rId3" display="https://laadministracionaldia.inap.es/noticia.asp?id=1189643"/>
    <hyperlink ref="Q3" r:id="rId4" display="https://www.aepd.es/documento/td-01416-2014.pdf"/>
    <hyperlink ref="P4" r:id="rId5" display="https://www.boe.es/diario_boe/txt.php?id=BOE-A-2022-12753"/>
    <hyperlink ref="Q4" r:id="rId6" display="https://www.aepd.es/documento/td-02177-2016.pdf"/>
    <hyperlink ref="P5" r:id="rId7" display="https://globalfreedomofexpression.columbia.edu/wp-content/uploads/2022/03/STS_2918_2020.pdf"/>
    <hyperlink ref="Q5" r:id="rId8" display="https://www.aepd.es/documento/td-02364-2016.pdf"/>
    <hyperlink ref="P6" r:id="rId9" display="https://www.iberley.es/jurisprudencia/sentencia-constitucional-n-105-2022-tc-pleno-rec-recurso-amparo-229-2021-13-09-2022-48437839"/>
    <hyperlink ref="Q6" r:id="rId10" display="https://www.aepd.es/documento/td-00725-2017.pdf"/>
    <hyperlink ref="P7" r:id="rId11" display="https://www.aepd.es/documento/reposicion-td-02351-2017.pdf"/>
    <hyperlink ref="Q7" r:id="rId12" display="https://www.aepd.es/documento/td-02351-2017.pdf"/>
    <hyperlink ref="P8" r:id="rId13" display="https://www.aepd.es/documento/td-00284-2019.pdf"/>
    <hyperlink ref="Q8" r:id="rId14" display="https://www.aepd.es/documento/td-00284-2019.pdf"/>
    <hyperlink ref="P9" r:id="rId15" display="https://www.aepd.es/documento/td-00006-2020.pdf"/>
    <hyperlink ref="Q9" r:id="rId16" display="https://www.aepd.es/documento/td-00006-2020.pdf"/>
    <hyperlink ref="P10" r:id="rId17" display="https://www.aepd.es/documento/td-00071-2020.pdf"/>
    <hyperlink ref="Q10" r:id="rId18" display="https://www.aepd.es/documento/td-00071-2020.pdf"/>
    <hyperlink ref="P11" r:id="rId19" display="https://www.aepd.es/documento/td-00277-2020.pdf"/>
    <hyperlink ref="Q11" r:id="rId20" display="https://www.aepd.es/documento/td-00277-2020.pdf"/>
    <hyperlink ref="P12" r:id="rId21" display="https://www.aepd.es/documento/td-00206-2020.pdf"/>
    <hyperlink ref="Q12" r:id="rId22" display="https://www.aepd.es/documento/td-00206-2020.pdf"/>
    <hyperlink ref="P13" r:id="rId23" display="https://www.aepd.es/documento/td-00016-2020.pdf"/>
    <hyperlink ref="Q13" r:id="rId24" display="https://www.aepd.es/documento/td-00016-2020.pdf"/>
    <hyperlink ref="P14" r:id="rId25" display="https://laadministracionaldia.inap.es/noticia.asp?id=1206040"/>
    <hyperlink ref="Q14" r:id="rId26" display="https://www.aepd.es/documento/td-01833-2017.pdf"/>
    <hyperlink ref="P15" r:id="rId27" display="https://www.iberley.es/resoluciones/resolucion-aepd-reposicion-td-01928-2014-25-05-2017-2403740"/>
    <hyperlink ref="Q15" r:id="rId28" display="https://www.aepd.es/documento/td-01928-2014.pdf"/>
    <hyperlink ref="P16" r:id="rId29" display="https://www.aepd.es/documento/reposicion-td-00227-2020.pdf"/>
    <hyperlink ref="Q16" r:id="rId30" display="https://www.aepd.es/documento/td-00227-2020.pdf"/>
    <hyperlink ref="P17" r:id="rId31" display="https://www.aepd.es/documento/td-00173-2021.pdf"/>
    <hyperlink ref="Q17" r:id="rId32" display="https://www.aepd.es/documento/td-00173-2021.pdf"/>
    <hyperlink ref="P18" r:id="rId33" display="https://www.iberley.es/resoluciones/resolucion-aepd-td-00272-2020-11-03-2021-2395305"/>
    <hyperlink ref="Q18" r:id="rId34" display="https://www.aepd.es/documento/td-00272-2020.pdf"/>
    <hyperlink ref="P19" r:id="rId35" display="https://www.iberley.es/resoluciones/resolucion-aepd-td-00044-2021-15-06-2021-2394925"/>
    <hyperlink ref="Q19" r:id="rId36" display="https://www.aepd.es/documento/td-00044-2021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4" min="3" style="0" width="40"/>
  </cols>
  <sheetData>
    <row r="1" customFormat="false" ht="31.5" hidden="false" customHeight="true" outlineLevel="0" collapsed="false">
      <c r="A1" s="4" t="s">
        <v>16</v>
      </c>
      <c r="B1" s="4" t="s">
        <v>19</v>
      </c>
      <c r="C1" s="4" t="s">
        <v>147</v>
      </c>
      <c r="D1" s="4" t="s">
        <v>31</v>
      </c>
    </row>
    <row r="2" customFormat="false" ht="15" hidden="false" customHeight="false" outlineLevel="0" collapsed="false">
      <c r="A2" s="5" t="s">
        <v>148</v>
      </c>
      <c r="B2" s="5" t="s">
        <v>34</v>
      </c>
      <c r="C2" s="5" t="s">
        <v>149</v>
      </c>
      <c r="D2" s="6" t="s">
        <v>150</v>
      </c>
    </row>
    <row r="3" customFormat="false" ht="15" hidden="false" customHeight="false" outlineLevel="0" collapsed="false">
      <c r="A3" s="5" t="s">
        <v>151</v>
      </c>
      <c r="B3" s="5" t="s">
        <v>34</v>
      </c>
      <c r="C3" s="5" t="s">
        <v>149</v>
      </c>
      <c r="D3" s="6" t="s">
        <v>152</v>
      </c>
    </row>
    <row r="4" customFormat="false" ht="15" hidden="false" customHeight="false" outlineLevel="0" collapsed="false">
      <c r="A4" s="5" t="s">
        <v>153</v>
      </c>
      <c r="B4" s="5" t="s">
        <v>34</v>
      </c>
      <c r="C4" s="5" t="s">
        <v>149</v>
      </c>
      <c r="D4" s="6" t="s">
        <v>154</v>
      </c>
    </row>
    <row r="5" customFormat="false" ht="15" hidden="false" customHeight="false" outlineLevel="0" collapsed="false">
      <c r="A5" s="5" t="s">
        <v>155</v>
      </c>
      <c r="B5" s="5" t="s">
        <v>34</v>
      </c>
      <c r="C5" s="5" t="s">
        <v>149</v>
      </c>
      <c r="D5" s="6" t="s">
        <v>156</v>
      </c>
    </row>
    <row r="6" customFormat="false" ht="15" hidden="false" customHeight="false" outlineLevel="0" collapsed="false">
      <c r="A6" s="5" t="s">
        <v>157</v>
      </c>
      <c r="B6" s="5" t="s">
        <v>34</v>
      </c>
      <c r="C6" s="5"/>
      <c r="D6" s="6" t="s">
        <v>158</v>
      </c>
    </row>
    <row r="7" customFormat="false" ht="15" hidden="false" customHeight="false" outlineLevel="0" collapsed="false">
      <c r="A7" s="5" t="s">
        <v>159</v>
      </c>
      <c r="B7" s="5" t="s">
        <v>92</v>
      </c>
      <c r="C7" s="5"/>
      <c r="D7" s="6" t="s">
        <v>160</v>
      </c>
    </row>
    <row r="8" customFormat="false" ht="15" hidden="false" customHeight="false" outlineLevel="0" collapsed="false">
      <c r="A8" s="5" t="s">
        <v>161</v>
      </c>
      <c r="B8" s="5" t="s">
        <v>81</v>
      </c>
      <c r="C8" s="5" t="s">
        <v>149</v>
      </c>
      <c r="D8" s="6" t="s">
        <v>162</v>
      </c>
    </row>
    <row r="9" customFormat="false" ht="15" hidden="false" customHeight="false" outlineLevel="0" collapsed="false">
      <c r="A9" s="5" t="s">
        <v>163</v>
      </c>
      <c r="B9" s="5" t="s">
        <v>81</v>
      </c>
      <c r="C9" s="5" t="s">
        <v>164</v>
      </c>
      <c r="D9" s="6" t="s">
        <v>165</v>
      </c>
    </row>
    <row r="10" customFormat="false" ht="15" hidden="false" customHeight="false" outlineLevel="0" collapsed="false">
      <c r="A10" s="5" t="s">
        <v>166</v>
      </c>
      <c r="B10" s="5" t="s">
        <v>81</v>
      </c>
      <c r="C10" s="5" t="s">
        <v>164</v>
      </c>
      <c r="D10" s="6" t="s">
        <v>167</v>
      </c>
    </row>
    <row r="11" customFormat="false" ht="15" hidden="false" customHeight="false" outlineLevel="0" collapsed="false">
      <c r="A11" s="5" t="s">
        <v>168</v>
      </c>
      <c r="B11" s="5" t="s">
        <v>169</v>
      </c>
      <c r="C11" s="5" t="s">
        <v>170</v>
      </c>
      <c r="D11" s="6" t="s">
        <v>171</v>
      </c>
    </row>
    <row r="12" customFormat="false" ht="15" hidden="false" customHeight="false" outlineLevel="0" collapsed="false">
      <c r="A12" s="5" t="s">
        <v>172</v>
      </c>
      <c r="B12" s="5" t="s">
        <v>72</v>
      </c>
      <c r="C12" s="5" t="s">
        <v>164</v>
      </c>
      <c r="D12" s="6" t="s">
        <v>173</v>
      </c>
    </row>
    <row r="13" customFormat="false" ht="15" hidden="false" customHeight="false" outlineLevel="0" collapsed="false">
      <c r="A13" s="5" t="s">
        <v>174</v>
      </c>
      <c r="B13" s="5" t="s">
        <v>175</v>
      </c>
      <c r="C13" s="5" t="s">
        <v>176</v>
      </c>
      <c r="D13" s="6" t="s">
        <v>177</v>
      </c>
    </row>
  </sheetData>
  <autoFilter ref="A1:D13"/>
  <hyperlinks>
    <hyperlink ref="D2" r:id="rId1" display="https://www.aepd.es/documento/td-00700-2016.pdf"/>
    <hyperlink ref="D3" r:id="rId2" display="https://www.aepd.es/documento/td-00236-2017.pdf"/>
    <hyperlink ref="D4" r:id="rId3" display="https://www.aepd.es/documento/td-00271-2017.pdf"/>
    <hyperlink ref="D5" r:id="rId4" display="https://www.aepd.es/documento/td-00319-2017.pdf"/>
    <hyperlink ref="D6" r:id="rId5" display="https://www.aepd.es/documento/td-00504-2017.pdf"/>
    <hyperlink ref="D7" r:id="rId6" display="https://www.aepd.es/documento/td-00894-2017.pdf"/>
    <hyperlink ref="D8" r:id="rId7" display="https://www.aepd.es/documento/td-01372-2017.pdf"/>
    <hyperlink ref="D9" r:id="rId8" display="https://www.aepd.es/documento/td-01226-2018.pdf"/>
    <hyperlink ref="D10" r:id="rId9" display="https://www.aepd.es/documento/td-01229-2018.pdf"/>
    <hyperlink ref="D11" r:id="rId10" display="https://www.aepd.es/documento/td-00027-2019.pdf"/>
    <hyperlink ref="D12" r:id="rId11" display="https://www.aepd.es/documento/td-00247-2021.pdf"/>
    <hyperlink ref="D13" r:id="rId12" display="https://www.aepd.es/documento/td-01289-2015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0"/>
    <col collapsed="false" customWidth="true" hidden="false" outlineLevel="0" max="3" min="3" style="0" width="28"/>
  </cols>
  <sheetData>
    <row r="1" customFormat="false" ht="31.5" hidden="false" customHeight="true" outlineLevel="0" collapsed="false">
      <c r="A1" s="4" t="s">
        <v>16</v>
      </c>
      <c r="B1" s="4" t="s">
        <v>178</v>
      </c>
      <c r="C1" s="4" t="s">
        <v>8</v>
      </c>
    </row>
    <row r="2" customFormat="false" ht="15" hidden="false" customHeight="false" outlineLevel="0" collapsed="false">
      <c r="A2" s="5" t="s">
        <v>179</v>
      </c>
      <c r="B2" s="5" t="s">
        <v>180</v>
      </c>
      <c r="C2" s="5" t="s">
        <v>89</v>
      </c>
    </row>
    <row r="3" customFormat="false" ht="15" hidden="false" customHeight="false" outlineLevel="0" collapsed="false">
      <c r="A3" s="5" t="s">
        <v>181</v>
      </c>
      <c r="B3" s="5" t="s">
        <v>182</v>
      </c>
      <c r="C3" s="5" t="s">
        <v>89</v>
      </c>
    </row>
    <row r="4" customFormat="false" ht="15" hidden="false" customHeight="false" outlineLevel="0" collapsed="false">
      <c r="A4" s="5" t="s">
        <v>183</v>
      </c>
      <c r="B4" s="5" t="s">
        <v>184</v>
      </c>
      <c r="C4" s="5" t="s">
        <v>76</v>
      </c>
    </row>
    <row r="5" customFormat="false" ht="15" hidden="false" customHeight="false" outlineLevel="0" collapsed="false">
      <c r="A5" s="5" t="s">
        <v>185</v>
      </c>
      <c r="B5" s="5" t="s">
        <v>186</v>
      </c>
      <c r="C5" s="5" t="s">
        <v>76</v>
      </c>
    </row>
    <row r="6" customFormat="false" ht="15" hidden="false" customHeight="false" outlineLevel="0" collapsed="false">
      <c r="A6" s="5" t="s">
        <v>187</v>
      </c>
      <c r="B6" s="5" t="s">
        <v>188</v>
      </c>
      <c r="C6" s="5" t="s">
        <v>76</v>
      </c>
    </row>
    <row r="7" customFormat="false" ht="15" hidden="false" customHeight="false" outlineLevel="0" collapsed="false">
      <c r="A7" s="5" t="s">
        <v>189</v>
      </c>
      <c r="B7" s="5" t="s">
        <v>190</v>
      </c>
      <c r="C7" s="5" t="s">
        <v>76</v>
      </c>
    </row>
    <row r="8" customFormat="false" ht="15" hidden="false" customHeight="false" outlineLevel="0" collapsed="false">
      <c r="A8" s="5" t="s">
        <v>191</v>
      </c>
      <c r="B8" s="5" t="s">
        <v>192</v>
      </c>
      <c r="C8" s="5" t="s">
        <v>76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7" t="s">
        <v>193</v>
      </c>
    </row>
    <row r="2" customFormat="false" ht="15" hidden="false" customHeight="false" outlineLevel="0" collapsed="false">
      <c r="A2" s="8" t="s">
        <v>194</v>
      </c>
    </row>
    <row r="3" customFormat="false" ht="15" hidden="false" customHeight="false" outlineLevel="0" collapsed="false">
      <c r="A3" s="9" t="s">
        <v>38</v>
      </c>
      <c r="B3" s="9" t="n">
        <f aca="false">COUNTIF(Corpus!K:K,"estimada")</f>
        <v>5</v>
      </c>
    </row>
    <row r="4" customFormat="false" ht="15" hidden="false" customHeight="false" outlineLevel="0" collapsed="false">
      <c r="A4" s="9" t="s">
        <v>73</v>
      </c>
      <c r="B4" s="9" t="n">
        <f aca="false">COUNTIF(Corpus!K:K,"desestimada")</f>
        <v>6</v>
      </c>
    </row>
    <row r="5" customFormat="false" ht="15" hidden="false" customHeight="false" outlineLevel="0" collapsed="false">
      <c r="A5" s="9" t="s">
        <v>195</v>
      </c>
      <c r="B5" s="9" t="n">
        <f aca="false">COUNTIF(Corpus!K:K,"estimada_parcialmente")</f>
        <v>0</v>
      </c>
    </row>
    <row r="6" customFormat="false" ht="15" hidden="false" customHeight="false" outlineLevel="0" collapsed="false">
      <c r="A6" s="9" t="s">
        <v>109</v>
      </c>
      <c r="B6" s="9" t="n">
        <f aca="false">COUNTIF(Corpus!K:K,"revisar")</f>
        <v>4</v>
      </c>
    </row>
    <row r="7" customFormat="false" ht="15" hidden="false" customHeight="false" outlineLevel="0" collapsed="false">
      <c r="A7" s="9" t="s">
        <v>133</v>
      </c>
      <c r="B7" s="9" t="n">
        <f aca="false">COUNTIF(Corpus!K:K,"excluir")</f>
        <v>3</v>
      </c>
    </row>
    <row r="8" customFormat="false" ht="15" hidden="false" customHeight="false" outlineLevel="0" collapsed="false">
      <c r="A8" s="9" t="s">
        <v>196</v>
      </c>
      <c r="B8" s="9" t="n">
        <f aca="false">COUNTA(Corpus!A:A)-1</f>
        <v>18</v>
      </c>
    </row>
    <row r="9" customFormat="false" ht="15" hidden="false" customHeight="false" outlineLevel="0" collapsed="false">
      <c r="A9" s="9" t="s">
        <v>197</v>
      </c>
      <c r="B9" s="9" t="n">
        <f aca="false">B3+B4+B5</f>
        <v>11</v>
      </c>
    </row>
    <row r="10" customFormat="false" ht="15" hidden="false" customHeight="false" outlineLevel="0" collapsed="false">
      <c r="A10" s="8"/>
    </row>
    <row r="11" customFormat="false" ht="15" hidden="false" customHeight="false" outlineLevel="0" collapsed="false">
      <c r="A11" s="8" t="s">
        <v>18</v>
      </c>
    </row>
    <row r="12" customFormat="false" ht="15" hidden="false" customHeight="false" outlineLevel="0" collapsed="false">
      <c r="A12" s="9" t="s">
        <v>198</v>
      </c>
      <c r="B12" s="9" t="n">
        <f aca="false">COUNTIF(Corpus!C:C,"LOPD")</f>
        <v>8</v>
      </c>
    </row>
    <row r="13" customFormat="false" ht="15" hidden="false" customHeight="false" outlineLevel="0" collapsed="false">
      <c r="A13" s="9" t="s">
        <v>199</v>
      </c>
      <c r="B13" s="9" t="n">
        <f aca="false">COUNTIF(Corpus!C:C,"RGPD")</f>
        <v>10</v>
      </c>
    </row>
    <row r="14" customFormat="false" ht="15" hidden="false" customHeight="false" outlineLevel="0" collapsed="false">
      <c r="A14" s="8"/>
    </row>
    <row r="15" customFormat="false" ht="15" hidden="false" customHeight="false" outlineLevel="0" collapsed="false">
      <c r="A15" s="8" t="s">
        <v>8</v>
      </c>
    </row>
    <row r="16" customFormat="false" ht="15" hidden="false" customHeight="false" outlineLevel="0" collapsed="false">
      <c r="A16" s="9" t="s">
        <v>89</v>
      </c>
      <c r="B16" s="9" t="n">
        <f aca="false">COUNTIF(Corpus!O:O,"Texto íntegro revisado")</f>
        <v>5</v>
      </c>
    </row>
    <row r="17" customFormat="false" ht="15" hidden="false" customHeight="false" outlineLevel="0" collapsed="false">
      <c r="A17" s="9" t="s">
        <v>76</v>
      </c>
      <c r="B17" s="9" t="n">
        <f aca="false">COUNTIF(Corpus!O:O,"Fragmentos oficiales (buscador)")</f>
        <v>7</v>
      </c>
    </row>
    <row r="18" customFormat="false" ht="15" hidden="false" customHeight="false" outlineLevel="0" collapsed="false">
      <c r="A18" s="9" t="s">
        <v>42</v>
      </c>
      <c r="B18" s="9" t="n">
        <f aca="false">COUNTIF(Corpus!O:O,"Citada en sentencia judicial")</f>
        <v>6</v>
      </c>
    </row>
    <row r="19" customFormat="false" ht="15" hidden="false" customHeight="false" outlineLevel="0" collapsed="false">
      <c r="A19" s="8"/>
    </row>
    <row r="20" customFormat="false" ht="15" hidden="false" customHeight="false" outlineLevel="0" collapsed="false">
      <c r="A20" s="9" t="s">
        <v>200</v>
      </c>
      <c r="B20" s="9" t="n">
        <f aca="false">COUNTA(Pendientes!A:A)-1</f>
        <v>12</v>
      </c>
    </row>
    <row r="21" customFormat="false" ht="15" hidden="false" customHeight="false" outlineLevel="0" collapsed="false">
      <c r="A21" s="9" t="s">
        <v>201</v>
      </c>
      <c r="B21" s="9" t="n">
        <f aca="false">COUNTA(Descartados!A:A)-1</f>
        <v>7</v>
      </c>
    </row>
    <row r="22" customFormat="false" ht="15" hidden="false" customHeight="false" outlineLevel="0" collapsed="false">
      <c r="A22" s="9" t="s">
        <v>202</v>
      </c>
      <c r="B22" s="9" t="n">
        <v>250</v>
      </c>
      <c r="C22" s="10" t="s">
        <v>203</v>
      </c>
    </row>
    <row r="23" customFormat="false" ht="15" hidden="false" customHeight="false" outlineLevel="0" collapsed="false">
      <c r="A23" s="9" t="s">
        <v>204</v>
      </c>
      <c r="B23" s="11" t="n">
        <f aca="false">B9/B22</f>
        <v>0.044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2026-09-29T20:08:04Z</dcterms:created>
  <dc:creator>openpyxl</dc:creator>
  <dc:description/>
  <dc:language>en-US</dc:language>
  <cp:lastModifiedBy/>
  <dcterms:modified xsi:type="dcterms:W3CDTF">2026-09-29T20:08:04Z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